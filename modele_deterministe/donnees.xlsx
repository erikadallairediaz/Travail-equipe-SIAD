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BE97ECF2-198E-46EB-A8C0-A4627B7EE8B9}" xr6:coauthVersionLast="47" xr6:coauthVersionMax="47" xr10:uidLastSave="{00000000-0000-0000-0000-000000000000}"/>
  <bookViews>
    <workbookView xWindow="-108" yWindow="-108" windowWidth="23256" windowHeight="12456" tabRatio="794" xr2:uid="{087A1B5B-7B97-4327-AC94-7D0ECF997B43}"/>
  </bookViews>
  <sheets>
    <sheet name="Approche déterministe" sheetId="1" r:id="rId1"/>
    <sheet name="demande" sheetId="2" r:id="rId2"/>
    <sheet name="cout_rupture" sheetId="3" r:id="rId3"/>
    <sheet name="stock" sheetId="4" r:id="rId4"/>
    <sheet name="capacite" sheetId="5" r:id="rId5"/>
    <sheet name="cout_transport" sheetId="6" r:id="rId6"/>
    <sheet name="scenari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D27" i="1" s="1"/>
  <c r="F3" i="7"/>
  <c r="F4" i="7"/>
  <c r="F5" i="7"/>
  <c r="F6" i="7"/>
  <c r="F7" i="7"/>
  <c r="F8" i="7"/>
  <c r="F9" i="7"/>
  <c r="F10" i="7"/>
  <c r="F11" i="7"/>
  <c r="F12" i="7"/>
  <c r="F13" i="7"/>
  <c r="F2" i="7"/>
  <c r="D5" i="7"/>
  <c r="D6" i="7"/>
  <c r="D7" i="7"/>
  <c r="D8" i="7"/>
  <c r="D9" i="7"/>
  <c r="D10" i="7"/>
  <c r="D11" i="7"/>
  <c r="D12" i="7"/>
  <c r="D13" i="7"/>
  <c r="D4" i="7"/>
  <c r="D3" i="7"/>
  <c r="D2" i="7"/>
  <c r="E3" i="7"/>
  <c r="E4" i="7"/>
  <c r="E5" i="7"/>
  <c r="E6" i="7"/>
  <c r="E7" i="7"/>
  <c r="E8" i="7"/>
  <c r="E9" i="7"/>
  <c r="E10" i="7"/>
  <c r="E11" i="7"/>
  <c r="E12" i="7"/>
  <c r="E13" i="7"/>
  <c r="E2" i="7"/>
  <c r="C13" i="7"/>
  <c r="C12" i="7"/>
  <c r="C11" i="7"/>
  <c r="C10" i="7"/>
  <c r="C9" i="7"/>
  <c r="C8" i="7"/>
  <c r="C7" i="7"/>
  <c r="C6" i="7"/>
  <c r="C5" i="7"/>
  <c r="C4" i="7"/>
  <c r="C3" i="7"/>
  <c r="C2" i="7"/>
  <c r="C13" i="2"/>
  <c r="C12" i="2"/>
  <c r="C11" i="2"/>
  <c r="C10" i="2"/>
  <c r="C9" i="2"/>
  <c r="C8" i="2"/>
  <c r="C7" i="2"/>
  <c r="C6" i="2"/>
  <c r="C5" i="2"/>
  <c r="C4" i="2"/>
  <c r="C3" i="2"/>
  <c r="C2" i="2"/>
  <c r="E30" i="1"/>
  <c r="F29" i="1" s="1"/>
  <c r="D30" i="1"/>
  <c r="F28" i="1" s="1"/>
  <c r="D29" i="1"/>
  <c r="E28" i="1" s="1"/>
  <c r="C30" i="1"/>
  <c r="F27" i="1" s="1"/>
  <c r="C29" i="1"/>
  <c r="E27" i="1" s="1"/>
</calcChain>
</file>

<file path=xl/sharedStrings.xml><?xml version="1.0" encoding="utf-8"?>
<sst xmlns="http://schemas.openxmlformats.org/spreadsheetml/2006/main" count="218" uniqueCount="42">
  <si>
    <t>Demande</t>
  </si>
  <si>
    <t>Succursale</t>
  </si>
  <si>
    <t>Nacelle</t>
  </si>
  <si>
    <t>Chariot élévateur</t>
  </si>
  <si>
    <t>Excavatrice</t>
  </si>
  <si>
    <t>A</t>
  </si>
  <si>
    <t>B</t>
  </si>
  <si>
    <t>C</t>
  </si>
  <si>
    <t>D</t>
  </si>
  <si>
    <t>Position en X</t>
  </si>
  <si>
    <t>Position en Y</t>
  </si>
  <si>
    <t>Capacité</t>
  </si>
  <si>
    <t>Quantité totale</t>
  </si>
  <si>
    <t>Type</t>
  </si>
  <si>
    <t>Quantité</t>
  </si>
  <si>
    <t>Coût de transport  ($/km) =</t>
  </si>
  <si>
    <t>Coût de transport</t>
  </si>
  <si>
    <t>De/Vers</t>
  </si>
  <si>
    <t>Coût de rupture</t>
  </si>
  <si>
    <t>Succursales</t>
  </si>
  <si>
    <t>Machines</t>
  </si>
  <si>
    <t>Cout de rupture</t>
  </si>
  <si>
    <t>Quantite</t>
  </si>
  <si>
    <t>Capacite</t>
  </si>
  <si>
    <t>Scénario faible</t>
  </si>
  <si>
    <t>Scénario Moyen</t>
  </si>
  <si>
    <t>Scénario Élevé</t>
  </si>
  <si>
    <t>scenario</t>
  </si>
  <si>
    <t>faible</t>
  </si>
  <si>
    <t>moyen</t>
  </si>
  <si>
    <t>eleve</t>
  </si>
  <si>
    <t>Probabilite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</si>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</sst>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" xfId="0" applyBorder="1"/>
    <xf numFmtId="0" fontId="0" fillId="0" borderId="23" xfId="0" applyBorder="1"/>
    <xf numFmtId="0" fontId="0" fillId="0" borderId="17" xfId="0" applyBorder="1"/>
    <xf numFmtId="0" fontId="0" fillId="2" borderId="1" xfId="0" applyFill="1" applyBorder="1"/>
    <xf numFmtId="0" fontId="0" fillId="2" borderId="8" xfId="0" applyFill="1" applyBorder="1"/>
    <xf numFmtId="0" fontId="1" fillId="0" borderId="25" xfId="0" applyFont="1" applyBorder="1"/>
    <xf numFmtId="0" fontId="0" fillId="0" borderId="25" xfId="0" applyBorder="1"/>
    <xf numFmtId="0" fontId="0" fillId="0" borderId="0" xfId="0" applyAlignment="1"/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0" borderId="25" xfId="0" applyBorder="1" applyAlignment="1"/>
    <xf numFmtId="0" fontId="0" fillId="0" borderId="25" xfId="0" applyFill="1" applyBorder="1" applyAlignment="1"/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B2:F36"/>
  <sheetViews>
    <sheetView tabSelected="1" zoomScale="69" zoomScaleNormal="80" workbookViewId="0">
      <selection activeCell="C35" sqref="C35"/>
    </sheetView>
  </sheetViews>
  <sheetFormatPr baseColWidth="10" defaultColWidth="11.44140625" defaultRowHeight="14.4" x14ac:dyDescent="0.3"/>
  <cols>
    <col min="2" max="2" width="16.33203125" bestFit="1" customWidth="1"/>
    <col min="3" max="4" width="16.33203125" customWidth="1"/>
    <col min="5" max="5" width="15.109375" bestFit="1" customWidth="1"/>
    <col min="6" max="6" width="16.33203125" bestFit="1" customWidth="1"/>
  </cols>
  <sheetData>
    <row r="2" spans="2:5" x14ac:dyDescent="0.3">
      <c r="B2" s="33" t="s">
        <v>0</v>
      </c>
      <c r="C2" s="34"/>
      <c r="D2" s="34"/>
      <c r="E2" s="35"/>
    </row>
    <row r="3" spans="2:5" x14ac:dyDescent="0.3">
      <c r="B3" s="7" t="s">
        <v>1</v>
      </c>
      <c r="C3" s="8" t="s">
        <v>2</v>
      </c>
      <c r="D3" s="8" t="s">
        <v>3</v>
      </c>
      <c r="E3" s="9" t="s">
        <v>4</v>
      </c>
    </row>
    <row r="4" spans="2:5" x14ac:dyDescent="0.3">
      <c r="B4" s="2" t="s">
        <v>5</v>
      </c>
      <c r="C4" s="1">
        <v>10</v>
      </c>
      <c r="D4" s="1">
        <v>5</v>
      </c>
      <c r="E4" s="3">
        <v>3</v>
      </c>
    </row>
    <row r="5" spans="2:5" x14ac:dyDescent="0.3">
      <c r="B5" s="2" t="s">
        <v>6</v>
      </c>
      <c r="C5" s="1">
        <v>8</v>
      </c>
      <c r="D5" s="1">
        <v>6</v>
      </c>
      <c r="E5" s="3">
        <v>4</v>
      </c>
    </row>
    <row r="6" spans="2:5" x14ac:dyDescent="0.3">
      <c r="B6" s="2" t="s">
        <v>7</v>
      </c>
      <c r="C6" s="1">
        <v>6</v>
      </c>
      <c r="D6" s="1">
        <v>4</v>
      </c>
      <c r="E6" s="3">
        <v>5</v>
      </c>
    </row>
    <row r="7" spans="2:5" x14ac:dyDescent="0.3">
      <c r="B7" s="4" t="s">
        <v>8</v>
      </c>
      <c r="C7" s="5">
        <v>9</v>
      </c>
      <c r="D7" s="5">
        <v>5</v>
      </c>
      <c r="E7" s="6">
        <v>2</v>
      </c>
    </row>
    <row r="10" spans="2:5" x14ac:dyDescent="0.3">
      <c r="B10" s="10" t="s">
        <v>1</v>
      </c>
      <c r="C10" s="21" t="s">
        <v>9</v>
      </c>
      <c r="D10" s="22" t="s">
        <v>10</v>
      </c>
      <c r="E10" s="21" t="s">
        <v>11</v>
      </c>
    </row>
    <row r="11" spans="2:5" x14ac:dyDescent="0.3">
      <c r="B11" s="19" t="s">
        <v>5</v>
      </c>
      <c r="C11" s="20">
        <v>10</v>
      </c>
      <c r="D11" s="16">
        <v>80</v>
      </c>
      <c r="E11" s="11">
        <v>20</v>
      </c>
    </row>
    <row r="12" spans="2:5" x14ac:dyDescent="0.3">
      <c r="B12" s="17" t="s">
        <v>6</v>
      </c>
      <c r="C12" s="1">
        <v>40</v>
      </c>
      <c r="D12" s="14">
        <v>70</v>
      </c>
      <c r="E12" s="3">
        <v>15</v>
      </c>
    </row>
    <row r="13" spans="2:5" x14ac:dyDescent="0.3">
      <c r="B13" s="17" t="s">
        <v>7</v>
      </c>
      <c r="C13" s="1">
        <v>80</v>
      </c>
      <c r="D13" s="14">
        <v>30</v>
      </c>
      <c r="E13" s="3">
        <v>18</v>
      </c>
    </row>
    <row r="14" spans="2:5" x14ac:dyDescent="0.3">
      <c r="B14" s="18" t="s">
        <v>8</v>
      </c>
      <c r="C14" s="5">
        <v>30</v>
      </c>
      <c r="D14" s="15">
        <v>10</v>
      </c>
      <c r="E14" s="6">
        <v>17</v>
      </c>
    </row>
    <row r="16" spans="2:5" x14ac:dyDescent="0.3">
      <c r="B16" s="33" t="s">
        <v>12</v>
      </c>
      <c r="C16" s="35"/>
    </row>
    <row r="17" spans="2:6" x14ac:dyDescent="0.3">
      <c r="B17" s="7" t="s">
        <v>13</v>
      </c>
      <c r="C17" s="9" t="s">
        <v>14</v>
      </c>
    </row>
    <row r="18" spans="2:6" x14ac:dyDescent="0.3">
      <c r="B18" s="2" t="s">
        <v>2</v>
      </c>
      <c r="C18" s="3">
        <v>30</v>
      </c>
    </row>
    <row r="19" spans="2:6" x14ac:dyDescent="0.3">
      <c r="B19" s="2" t="s">
        <v>3</v>
      </c>
      <c r="C19" s="3">
        <v>25</v>
      </c>
    </row>
    <row r="20" spans="2:6" x14ac:dyDescent="0.3">
      <c r="B20" s="4" t="s">
        <v>4</v>
      </c>
      <c r="C20" s="6">
        <v>20</v>
      </c>
    </row>
    <row r="23" spans="2:6" x14ac:dyDescent="0.3">
      <c r="B23" s="33" t="s">
        <v>15</v>
      </c>
      <c r="C23" s="34"/>
      <c r="D23" s="12">
        <v>0.55000000000000004</v>
      </c>
    </row>
    <row r="25" spans="2:6" x14ac:dyDescent="0.3">
      <c r="B25" s="33" t="s">
        <v>16</v>
      </c>
      <c r="C25" s="34"/>
      <c r="D25" s="34"/>
      <c r="E25" s="34"/>
      <c r="F25" s="35"/>
    </row>
    <row r="26" spans="2:6" x14ac:dyDescent="0.3">
      <c r="B26" s="7" t="s">
        <v>17</v>
      </c>
      <c r="C26" s="8" t="s">
        <v>5</v>
      </c>
      <c r="D26" s="8" t="s">
        <v>6</v>
      </c>
      <c r="E26" s="8" t="s">
        <v>7</v>
      </c>
      <c r="F26" s="9" t="s">
        <v>8</v>
      </c>
    </row>
    <row r="27" spans="2:6" x14ac:dyDescent="0.3">
      <c r="B27" s="2" t="s">
        <v>5</v>
      </c>
      <c r="C27" s="23"/>
      <c r="D27" s="1">
        <f>C28</f>
        <v>17.392527130926087</v>
      </c>
      <c r="E27" s="1">
        <f>C29</f>
        <v>47.312788968734452</v>
      </c>
      <c r="F27" s="3">
        <f>C30</f>
        <v>40.040604391042855</v>
      </c>
    </row>
    <row r="28" spans="2:6" x14ac:dyDescent="0.3">
      <c r="B28" s="2" t="s">
        <v>6</v>
      </c>
      <c r="C28" s="1">
        <f>(SQRT((C12-C11)^2 + (D12-D11)^2))*D23</f>
        <v>17.392527130926087</v>
      </c>
      <c r="D28" s="23"/>
      <c r="E28" s="1">
        <f>D29</f>
        <v>31.112698372208094</v>
      </c>
      <c r="F28" s="3">
        <f>D30</f>
        <v>33.455193916640212</v>
      </c>
    </row>
    <row r="29" spans="2:6" x14ac:dyDescent="0.3">
      <c r="B29" s="2" t="s">
        <v>7</v>
      </c>
      <c r="C29" s="1">
        <f>(SQRT((C13-C11)^2 + (D13-D11)^2))*D23</f>
        <v>47.312788968734452</v>
      </c>
      <c r="D29" s="1">
        <f>(SQRT((C13-C12)^2 + (D13-D12)^2))*D23</f>
        <v>31.112698372208094</v>
      </c>
      <c r="E29" s="23"/>
      <c r="F29" s="3">
        <f>E30</f>
        <v>29.618406439239774</v>
      </c>
    </row>
    <row r="30" spans="2:6" x14ac:dyDescent="0.3">
      <c r="B30" s="4" t="s">
        <v>8</v>
      </c>
      <c r="C30" s="5">
        <f>(SQRT((C14-C11)^2 + (D14-D11)^2))*D23</f>
        <v>40.040604391042855</v>
      </c>
      <c r="D30" s="5">
        <f>(SQRT((C14-C12)^2 + (D14-D12)^2))*D23</f>
        <v>33.455193916640212</v>
      </c>
      <c r="E30" s="5">
        <f>(SQRT((C14-C13)^2 + (D14-D13)^2))*D23</f>
        <v>29.618406439239774</v>
      </c>
      <c r="F30" s="24"/>
    </row>
    <row r="33" spans="2:3" x14ac:dyDescent="0.3">
      <c r="B33" s="13" t="s">
        <v>13</v>
      </c>
      <c r="C33" s="12" t="s">
        <v>18</v>
      </c>
    </row>
    <row r="34" spans="2:3" x14ac:dyDescent="0.3">
      <c r="B34" s="7" t="s">
        <v>2</v>
      </c>
      <c r="C34" s="9">
        <v>20</v>
      </c>
    </row>
    <row r="35" spans="2:3" x14ac:dyDescent="0.3">
      <c r="B35" s="2" t="s">
        <v>3</v>
      </c>
      <c r="C35" s="3">
        <v>15</v>
      </c>
    </row>
    <row r="36" spans="2:3" x14ac:dyDescent="0.3">
      <c r="B36" s="4" t="s">
        <v>4</v>
      </c>
      <c r="C36" s="6">
        <v>25</v>
      </c>
    </row>
  </sheetData>
  <mergeCells count="4">
    <mergeCell ref="B23:C23"/>
    <mergeCell ref="B25:F25"/>
    <mergeCell ref="B16:C16"/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EEC9-353D-473A-9ADB-652C7A77150E}">
  <dimension ref="A1:C53"/>
  <sheetViews>
    <sheetView topLeftCell="A20" workbookViewId="0">
      <selection activeCell="E45" sqref="E45"/>
    </sheetView>
  </sheetViews>
  <sheetFormatPr baseColWidth="10" defaultRowHeight="14.4" x14ac:dyDescent="0.3"/>
  <cols>
    <col min="2" max="2" width="18.44140625" customWidth="1"/>
  </cols>
  <sheetData>
    <row r="1" spans="1:3" x14ac:dyDescent="0.3">
      <c r="A1" s="25" t="s">
        <v>19</v>
      </c>
      <c r="B1" s="25" t="s">
        <v>20</v>
      </c>
      <c r="C1" s="26" t="s">
        <v>0</v>
      </c>
    </row>
    <row r="2" spans="1:3" x14ac:dyDescent="0.3">
      <c r="A2" s="26" t="s">
        <v>5</v>
      </c>
      <c r="B2" s="26" t="s">
        <v>2</v>
      </c>
      <c r="C2" s="26">
        <f>'Approche déterministe'!C4</f>
        <v>10</v>
      </c>
    </row>
    <row r="3" spans="1:3" x14ac:dyDescent="0.3">
      <c r="A3" s="26" t="s">
        <v>5</v>
      </c>
      <c r="B3" s="26" t="s">
        <v>3</v>
      </c>
      <c r="C3" s="26">
        <f>'Approche déterministe'!D4</f>
        <v>5</v>
      </c>
    </row>
    <row r="4" spans="1:3" x14ac:dyDescent="0.3">
      <c r="A4" s="26" t="s">
        <v>5</v>
      </c>
      <c r="B4" s="26" t="s">
        <v>4</v>
      </c>
      <c r="C4" s="26">
        <f>'Approche déterministe'!E4</f>
        <v>3</v>
      </c>
    </row>
    <row r="5" spans="1:3" x14ac:dyDescent="0.3">
      <c r="A5" s="26" t="s">
        <v>6</v>
      </c>
      <c r="B5" s="26" t="s">
        <v>2</v>
      </c>
      <c r="C5" s="26">
        <f>'Approche déterministe'!C5</f>
        <v>8</v>
      </c>
    </row>
    <row r="6" spans="1:3" x14ac:dyDescent="0.3">
      <c r="A6" s="26" t="s">
        <v>6</v>
      </c>
      <c r="B6" s="26" t="s">
        <v>3</v>
      </c>
      <c r="C6" s="26">
        <f>'Approche déterministe'!D5</f>
        <v>6</v>
      </c>
    </row>
    <row r="7" spans="1:3" x14ac:dyDescent="0.3">
      <c r="A7" s="26" t="s">
        <v>6</v>
      </c>
      <c r="B7" s="26" t="s">
        <v>4</v>
      </c>
      <c r="C7" s="26">
        <f>'Approche déterministe'!E5</f>
        <v>4</v>
      </c>
    </row>
    <row r="8" spans="1:3" x14ac:dyDescent="0.3">
      <c r="A8" s="26" t="s">
        <v>7</v>
      </c>
      <c r="B8" s="26" t="s">
        <v>2</v>
      </c>
      <c r="C8" s="26">
        <f>'Approche déterministe'!C6</f>
        <v>6</v>
      </c>
    </row>
    <row r="9" spans="1:3" x14ac:dyDescent="0.3">
      <c r="A9" s="26" t="s">
        <v>7</v>
      </c>
      <c r="B9" s="26" t="s">
        <v>3</v>
      </c>
      <c r="C9" s="26">
        <f>'Approche déterministe'!D6</f>
        <v>4</v>
      </c>
    </row>
    <row r="10" spans="1:3" x14ac:dyDescent="0.3">
      <c r="A10" s="26" t="s">
        <v>7</v>
      </c>
      <c r="B10" s="26" t="s">
        <v>4</v>
      </c>
      <c r="C10" s="26">
        <f>'Approche déterministe'!E6</f>
        <v>5</v>
      </c>
    </row>
    <row r="11" spans="1:3" x14ac:dyDescent="0.3">
      <c r="A11" s="26" t="s">
        <v>8</v>
      </c>
      <c r="B11" s="26" t="s">
        <v>2</v>
      </c>
      <c r="C11" s="26">
        <f>'Approche déterministe'!C7</f>
        <v>9</v>
      </c>
    </row>
    <row r="12" spans="1:3" x14ac:dyDescent="0.3">
      <c r="A12" s="26" t="s">
        <v>8</v>
      </c>
      <c r="B12" s="26" t="s">
        <v>3</v>
      </c>
      <c r="C12" s="26">
        <f>'Approche déterministe'!D7</f>
        <v>5</v>
      </c>
    </row>
    <row r="13" spans="1:3" x14ac:dyDescent="0.3">
      <c r="A13" s="26" t="s">
        <v>8</v>
      </c>
      <c r="B13" s="26" t="s">
        <v>4</v>
      </c>
      <c r="C13" s="26">
        <f>'Approche déterministe'!E7</f>
        <v>2</v>
      </c>
    </row>
    <row r="14" spans="1:3" x14ac:dyDescent="0.3">
      <c r="A14" s="36" t="s">
        <v>32</v>
      </c>
      <c r="B14" s="26" t="s">
        <v>2</v>
      </c>
      <c r="C14">
        <v>9</v>
      </c>
    </row>
    <row r="15" spans="1:3" x14ac:dyDescent="0.3">
      <c r="A15" s="36" t="s">
        <v>32</v>
      </c>
      <c r="B15" s="26" t="s">
        <v>3</v>
      </c>
      <c r="C15">
        <v>5</v>
      </c>
    </row>
    <row r="16" spans="1:3" x14ac:dyDescent="0.3">
      <c r="A16" s="36" t="s">
        <v>32</v>
      </c>
      <c r="B16" s="26" t="s">
        <v>4</v>
      </c>
      <c r="C16">
        <v>3</v>
      </c>
    </row>
    <row r="17" spans="1:3" x14ac:dyDescent="0.3">
      <c r="A17" s="36" t="s">
        <v>33</v>
      </c>
      <c r="B17" s="26" t="s">
        <v>2</v>
      </c>
      <c r="C17">
        <v>7</v>
      </c>
    </row>
    <row r="18" spans="1:3" x14ac:dyDescent="0.3">
      <c r="A18" s="36" t="s">
        <v>33</v>
      </c>
      <c r="B18" s="26" t="s">
        <v>3</v>
      </c>
      <c r="C18">
        <v>6</v>
      </c>
    </row>
    <row r="19" spans="1:3" x14ac:dyDescent="0.3">
      <c r="A19" s="36" t="s">
        <v>33</v>
      </c>
      <c r="B19" s="26" t="s">
        <v>4</v>
      </c>
      <c r="C19">
        <v>4</v>
      </c>
    </row>
    <row r="20" spans="1:3" x14ac:dyDescent="0.3">
      <c r="A20" s="36" t="s">
        <v>34</v>
      </c>
      <c r="B20" s="26" t="s">
        <v>2</v>
      </c>
      <c r="C20">
        <v>8</v>
      </c>
    </row>
    <row r="21" spans="1:3" x14ac:dyDescent="0.3">
      <c r="A21" s="36" t="s">
        <v>34</v>
      </c>
      <c r="B21" s="26" t="s">
        <v>3</v>
      </c>
      <c r="C21">
        <v>4</v>
      </c>
    </row>
    <row r="22" spans="1:3" x14ac:dyDescent="0.3">
      <c r="A22" s="36" t="s">
        <v>34</v>
      </c>
      <c r="B22" s="26" t="s">
        <v>4</v>
      </c>
      <c r="C22">
        <v>2</v>
      </c>
    </row>
    <row r="23" spans="1:3" x14ac:dyDescent="0.3">
      <c r="A23" s="36" t="s">
        <v>35</v>
      </c>
      <c r="B23" s="26" t="s">
        <v>2</v>
      </c>
      <c r="C23">
        <v>10</v>
      </c>
    </row>
    <row r="24" spans="1:3" x14ac:dyDescent="0.3">
      <c r="A24" s="36" t="s">
        <v>35</v>
      </c>
      <c r="B24" s="26" t="s">
        <v>3</v>
      </c>
      <c r="C24">
        <v>5</v>
      </c>
    </row>
    <row r="25" spans="1:3" x14ac:dyDescent="0.3">
      <c r="A25" s="36" t="s">
        <v>35</v>
      </c>
      <c r="B25" s="26" t="s">
        <v>4</v>
      </c>
      <c r="C25">
        <v>3</v>
      </c>
    </row>
    <row r="26" spans="1:3" x14ac:dyDescent="0.3">
      <c r="A26" s="36" t="s">
        <v>36</v>
      </c>
      <c r="B26" s="26" t="s">
        <v>2</v>
      </c>
      <c r="C26">
        <v>6</v>
      </c>
    </row>
    <row r="27" spans="1:3" x14ac:dyDescent="0.3">
      <c r="A27" s="36" t="s">
        <v>36</v>
      </c>
      <c r="B27" s="26" t="s">
        <v>3</v>
      </c>
      <c r="C27">
        <v>4</v>
      </c>
    </row>
    <row r="28" spans="1:3" x14ac:dyDescent="0.3">
      <c r="A28" s="36" t="s">
        <v>36</v>
      </c>
      <c r="B28" s="26" t="s">
        <v>4</v>
      </c>
      <c r="C28">
        <v>5</v>
      </c>
    </row>
    <row r="29" spans="1:3" x14ac:dyDescent="0.3">
      <c r="A29" s="36" t="s">
        <v>37</v>
      </c>
      <c r="B29" s="26" t="s">
        <v>2</v>
      </c>
      <c r="C29">
        <v>9</v>
      </c>
    </row>
    <row r="30" spans="1:3" x14ac:dyDescent="0.3">
      <c r="A30" s="36" t="s">
        <v>37</v>
      </c>
      <c r="B30" s="26" t="s">
        <v>3</v>
      </c>
      <c r="C30">
        <v>6</v>
      </c>
    </row>
    <row r="31" spans="1:3" x14ac:dyDescent="0.3">
      <c r="A31" s="36" t="s">
        <v>37</v>
      </c>
      <c r="B31" s="26" t="s">
        <v>4</v>
      </c>
      <c r="C31">
        <v>4</v>
      </c>
    </row>
    <row r="32" spans="1:3" x14ac:dyDescent="0.3">
      <c r="A32" s="36" t="s">
        <v>38</v>
      </c>
      <c r="B32" s="26" t="s">
        <v>2</v>
      </c>
      <c r="C32">
        <v>7</v>
      </c>
    </row>
    <row r="33" spans="1:3" x14ac:dyDescent="0.3">
      <c r="A33" s="36" t="s">
        <v>38</v>
      </c>
      <c r="B33" s="26" t="s">
        <v>3</v>
      </c>
      <c r="C33">
        <v>5</v>
      </c>
    </row>
    <row r="34" spans="1:3" x14ac:dyDescent="0.3">
      <c r="A34" s="36" t="s">
        <v>38</v>
      </c>
      <c r="B34" s="26" t="s">
        <v>4</v>
      </c>
      <c r="C34">
        <v>3</v>
      </c>
    </row>
    <row r="35" spans="1:3" x14ac:dyDescent="0.3">
      <c r="A35" s="36" t="s">
        <v>39</v>
      </c>
      <c r="B35" s="26" t="s">
        <v>2</v>
      </c>
      <c r="C35">
        <v>8</v>
      </c>
    </row>
    <row r="36" spans="1:3" x14ac:dyDescent="0.3">
      <c r="A36" s="36" t="s">
        <v>39</v>
      </c>
      <c r="B36" s="26" t="s">
        <v>3</v>
      </c>
      <c r="C36">
        <v>4</v>
      </c>
    </row>
    <row r="37" spans="1:3" x14ac:dyDescent="0.3">
      <c r="A37" s="36" t="s">
        <v>39</v>
      </c>
      <c r="B37" s="26" t="s">
        <v>4</v>
      </c>
      <c r="C37">
        <v>2</v>
      </c>
    </row>
    <row r="38" spans="1:3" x14ac:dyDescent="0.3">
      <c r="A38" s="36" t="s">
        <v>40</v>
      </c>
      <c r="B38" s="26" t="s">
        <v>2</v>
      </c>
      <c r="C38">
        <v>10</v>
      </c>
    </row>
    <row r="39" spans="1:3" x14ac:dyDescent="0.3">
      <c r="A39" s="36" t="s">
        <v>40</v>
      </c>
      <c r="B39" s="26" t="s">
        <v>3</v>
      </c>
      <c r="C39">
        <v>6</v>
      </c>
    </row>
    <row r="40" spans="1:3" x14ac:dyDescent="0.3">
      <c r="A40" s="36" t="s">
        <v>40</v>
      </c>
      <c r="B40" s="26" t="s">
        <v>4</v>
      </c>
      <c r="C40">
        <v>5</v>
      </c>
    </row>
    <row r="41" spans="1:3" x14ac:dyDescent="0.3">
      <c r="A41" s="36" t="s">
        <v>41</v>
      </c>
      <c r="B41" s="26" t="s">
        <v>2</v>
      </c>
      <c r="C41">
        <v>7</v>
      </c>
    </row>
    <row r="42" spans="1:3" x14ac:dyDescent="0.3">
      <c r="A42" s="36" t="s">
        <v>41</v>
      </c>
      <c r="B42" s="26" t="s">
        <v>3</v>
      </c>
      <c r="C42">
        <v>5</v>
      </c>
    </row>
    <row r="43" spans="1:3" x14ac:dyDescent="0.3">
      <c r="A43" s="36" t="s">
        <v>41</v>
      </c>
      <c r="B43" s="26" t="s">
        <v>4</v>
      </c>
      <c r="C43">
        <v>3</v>
      </c>
    </row>
    <row r="44" spans="1:3" x14ac:dyDescent="0.3">
      <c r="A44" s="36"/>
      <c r="B44" s="26"/>
    </row>
    <row r="45" spans="1:3" x14ac:dyDescent="0.3">
      <c r="A45" s="36"/>
      <c r="B45" s="26"/>
    </row>
    <row r="46" spans="1:3" x14ac:dyDescent="0.3">
      <c r="A46" s="36"/>
      <c r="B46" s="26"/>
    </row>
    <row r="47" spans="1:3" x14ac:dyDescent="0.3">
      <c r="A47" s="36"/>
      <c r="B47" s="26"/>
    </row>
    <row r="48" spans="1:3" x14ac:dyDescent="0.3">
      <c r="A48" s="36"/>
      <c r="B48" s="26"/>
    </row>
    <row r="49" spans="1:2" x14ac:dyDescent="0.3">
      <c r="A49" s="36"/>
      <c r="B49" s="26"/>
    </row>
    <row r="50" spans="1:2" x14ac:dyDescent="0.3">
      <c r="B50" s="26"/>
    </row>
    <row r="51" spans="1:2" x14ac:dyDescent="0.3">
      <c r="B51" s="26"/>
    </row>
    <row r="52" spans="1:2" x14ac:dyDescent="0.3">
      <c r="B52" s="26"/>
    </row>
    <row r="53" spans="1:2" x14ac:dyDescent="0.3">
      <c r="B53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B552-CF7F-4798-A436-5D68C0CFF69A}">
  <dimension ref="A1:B4"/>
  <sheetViews>
    <sheetView workbookViewId="0">
      <selection activeCell="B2" sqref="B2"/>
    </sheetView>
  </sheetViews>
  <sheetFormatPr baseColWidth="10" defaultRowHeight="14.4" x14ac:dyDescent="0.3"/>
  <cols>
    <col min="1" max="1" width="15.109375" bestFit="1" customWidth="1"/>
    <col min="2" max="2" width="13.77734375" bestFit="1" customWidth="1"/>
  </cols>
  <sheetData>
    <row r="1" spans="1:2" ht="15" thickBot="1" x14ac:dyDescent="0.35">
      <c r="A1" s="13" t="s">
        <v>13</v>
      </c>
      <c r="B1" s="12" t="s">
        <v>21</v>
      </c>
    </row>
    <row r="2" spans="1:2" x14ac:dyDescent="0.3">
      <c r="A2" s="7" t="s">
        <v>2</v>
      </c>
      <c r="B2" s="9">
        <v>20</v>
      </c>
    </row>
    <row r="3" spans="1:2" x14ac:dyDescent="0.3">
      <c r="A3" s="2" t="s">
        <v>3</v>
      </c>
      <c r="B3" s="3">
        <v>15</v>
      </c>
    </row>
    <row r="4" spans="1:2" ht="15" thickBot="1" x14ac:dyDescent="0.35">
      <c r="A4" s="4" t="s">
        <v>4</v>
      </c>
      <c r="B4" s="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D404-7131-4D86-8BC4-6BCEF590AEC1}">
  <dimension ref="A1:B4"/>
  <sheetViews>
    <sheetView workbookViewId="0">
      <selection activeCell="B4" sqref="B4"/>
    </sheetView>
  </sheetViews>
  <sheetFormatPr baseColWidth="10" defaultRowHeight="14.4" x14ac:dyDescent="0.3"/>
  <cols>
    <col min="1" max="1" width="15.109375" bestFit="1" customWidth="1"/>
    <col min="2" max="2" width="10.33203125" customWidth="1"/>
  </cols>
  <sheetData>
    <row r="1" spans="1:2" x14ac:dyDescent="0.3">
      <c r="A1" s="7" t="s">
        <v>13</v>
      </c>
      <c r="B1" s="9" t="s">
        <v>22</v>
      </c>
    </row>
    <row r="2" spans="1:2" x14ac:dyDescent="0.3">
      <c r="A2" s="2" t="s">
        <v>2</v>
      </c>
      <c r="B2" s="3">
        <v>30</v>
      </c>
    </row>
    <row r="3" spans="1:2" x14ac:dyDescent="0.3">
      <c r="A3" s="2" t="s">
        <v>3</v>
      </c>
      <c r="B3" s="3">
        <v>25</v>
      </c>
    </row>
    <row r="4" spans="1:2" ht="15" thickBot="1" x14ac:dyDescent="0.35">
      <c r="A4" s="4" t="s">
        <v>4</v>
      </c>
      <c r="B4" s="6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6090-0968-47E1-8D71-17427DA9CED4}">
  <dimension ref="A1:D15"/>
  <sheetViews>
    <sheetView workbookViewId="0">
      <selection activeCell="D2" sqref="D2:D15"/>
    </sheetView>
  </sheetViews>
  <sheetFormatPr baseColWidth="10" defaultRowHeight="14.4" x14ac:dyDescent="0.3"/>
  <sheetData>
    <row r="1" spans="1:4" ht="15" thickBot="1" x14ac:dyDescent="0.35">
      <c r="A1" s="10" t="s">
        <v>19</v>
      </c>
      <c r="B1" s="21" t="s">
        <v>9</v>
      </c>
      <c r="C1" s="22" t="s">
        <v>10</v>
      </c>
      <c r="D1" s="21" t="s">
        <v>23</v>
      </c>
    </row>
    <row r="2" spans="1:4" x14ac:dyDescent="0.3">
      <c r="A2" s="19" t="s">
        <v>5</v>
      </c>
      <c r="B2" s="20">
        <v>10</v>
      </c>
      <c r="C2" s="16">
        <v>80</v>
      </c>
      <c r="D2" s="11">
        <v>25</v>
      </c>
    </row>
    <row r="3" spans="1:4" x14ac:dyDescent="0.3">
      <c r="A3" s="17" t="s">
        <v>6</v>
      </c>
      <c r="B3" s="1">
        <v>40</v>
      </c>
      <c r="C3" s="14">
        <v>70</v>
      </c>
      <c r="D3" s="3">
        <v>8</v>
      </c>
    </row>
    <row r="4" spans="1:4" x14ac:dyDescent="0.3">
      <c r="A4" s="17" t="s">
        <v>7</v>
      </c>
      <c r="B4" s="1">
        <v>80</v>
      </c>
      <c r="C4" s="14">
        <v>30</v>
      </c>
      <c r="D4" s="3">
        <v>20</v>
      </c>
    </row>
    <row r="5" spans="1:4" ht="15" thickBot="1" x14ac:dyDescent="0.35">
      <c r="A5" s="18" t="s">
        <v>8</v>
      </c>
      <c r="B5" s="5">
        <v>30</v>
      </c>
      <c r="C5" s="15">
        <v>10</v>
      </c>
      <c r="D5" s="6">
        <v>7</v>
      </c>
    </row>
    <row r="6" spans="1:4" x14ac:dyDescent="0.3">
      <c r="A6" t="s">
        <v>32</v>
      </c>
      <c r="B6">
        <v>18</v>
      </c>
      <c r="C6">
        <v>20</v>
      </c>
      <c r="D6">
        <v>18</v>
      </c>
    </row>
    <row r="7" spans="1:4" x14ac:dyDescent="0.3">
      <c r="A7" t="s">
        <v>33</v>
      </c>
      <c r="B7">
        <v>20</v>
      </c>
      <c r="C7">
        <v>50</v>
      </c>
      <c r="D7">
        <v>20</v>
      </c>
    </row>
    <row r="8" spans="1:4" x14ac:dyDescent="0.3">
      <c r="A8" t="s">
        <v>34</v>
      </c>
      <c r="B8">
        <v>15</v>
      </c>
      <c r="C8">
        <v>70</v>
      </c>
      <c r="D8">
        <v>6</v>
      </c>
    </row>
    <row r="9" spans="1:4" x14ac:dyDescent="0.3">
      <c r="A9" t="s">
        <v>35</v>
      </c>
      <c r="B9">
        <v>17</v>
      </c>
      <c r="C9">
        <v>15</v>
      </c>
      <c r="D9">
        <v>17</v>
      </c>
    </row>
    <row r="10" spans="1:4" x14ac:dyDescent="0.3">
      <c r="A10" t="s">
        <v>36</v>
      </c>
      <c r="B10">
        <v>19</v>
      </c>
      <c r="C10">
        <v>60</v>
      </c>
      <c r="D10">
        <v>19</v>
      </c>
    </row>
    <row r="11" spans="1:4" x14ac:dyDescent="0.3">
      <c r="A11" t="s">
        <v>37</v>
      </c>
      <c r="B11">
        <v>20</v>
      </c>
      <c r="C11">
        <v>90</v>
      </c>
      <c r="D11">
        <v>9</v>
      </c>
    </row>
    <row r="12" spans="1:4" x14ac:dyDescent="0.3">
      <c r="A12" t="s">
        <v>38</v>
      </c>
      <c r="B12">
        <v>16</v>
      </c>
      <c r="C12">
        <v>25</v>
      </c>
      <c r="D12">
        <v>16</v>
      </c>
    </row>
    <row r="13" spans="1:4" x14ac:dyDescent="0.3">
      <c r="A13" t="s">
        <v>39</v>
      </c>
      <c r="B13">
        <v>18</v>
      </c>
      <c r="C13">
        <v>85</v>
      </c>
      <c r="D13">
        <v>18</v>
      </c>
    </row>
    <row r="14" spans="1:4" x14ac:dyDescent="0.3">
      <c r="A14" t="s">
        <v>40</v>
      </c>
      <c r="B14">
        <v>15</v>
      </c>
      <c r="C14">
        <v>55</v>
      </c>
      <c r="D14">
        <v>7</v>
      </c>
    </row>
    <row r="15" spans="1:4" x14ac:dyDescent="0.3">
      <c r="A15" t="s">
        <v>41</v>
      </c>
      <c r="B15">
        <v>19</v>
      </c>
      <c r="C15">
        <v>75</v>
      </c>
      <c r="D15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3F19-09DB-4B30-B661-24661F264597}">
  <dimension ref="A1:O15"/>
  <sheetViews>
    <sheetView workbookViewId="0">
      <selection activeCell="J7" sqref="J7"/>
    </sheetView>
  </sheetViews>
  <sheetFormatPr baseColWidth="10" defaultRowHeight="14.4" x14ac:dyDescent="0.3"/>
  <sheetData>
    <row r="1" spans="1:15" x14ac:dyDescent="0.3">
      <c r="A1" t="s">
        <v>17</v>
      </c>
      <c r="B1" t="s">
        <v>5</v>
      </c>
      <c r="C1" t="s">
        <v>6</v>
      </c>
      <c r="D1" t="s">
        <v>7</v>
      </c>
      <c r="E1" t="s">
        <v>8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3">
      <c r="A2" t="s">
        <v>5</v>
      </c>
      <c r="C2">
        <v>17.392527130926087</v>
      </c>
      <c r="D2">
        <v>47.312788968734452</v>
      </c>
      <c r="E2">
        <v>40.040604391042855</v>
      </c>
    </row>
    <row r="3" spans="1:15" x14ac:dyDescent="0.3">
      <c r="A3" t="s">
        <v>6</v>
      </c>
      <c r="B3">
        <v>17.392527130926087</v>
      </c>
      <c r="D3">
        <v>31.112698372208094</v>
      </c>
      <c r="E3">
        <v>33.455193916640212</v>
      </c>
    </row>
    <row r="4" spans="1:15" x14ac:dyDescent="0.3">
      <c r="A4" t="s">
        <v>7</v>
      </c>
      <c r="B4">
        <v>47.312788968734452</v>
      </c>
      <c r="C4">
        <v>31.112698372208094</v>
      </c>
      <c r="E4">
        <v>29.618406439239774</v>
      </c>
    </row>
    <row r="5" spans="1:15" x14ac:dyDescent="0.3">
      <c r="A5" t="s">
        <v>8</v>
      </c>
      <c r="B5">
        <v>40.040604391042898</v>
      </c>
      <c r="C5">
        <v>33.455193916640212</v>
      </c>
      <c r="D5">
        <v>29.618406439239774</v>
      </c>
    </row>
    <row r="6" spans="1:15" x14ac:dyDescent="0.3">
      <c r="A6" t="s">
        <v>32</v>
      </c>
    </row>
    <row r="7" spans="1:15" x14ac:dyDescent="0.3">
      <c r="A7" t="s">
        <v>33</v>
      </c>
    </row>
    <row r="8" spans="1:15" x14ac:dyDescent="0.3">
      <c r="A8" t="s">
        <v>34</v>
      </c>
    </row>
    <row r="9" spans="1:15" x14ac:dyDescent="0.3">
      <c r="A9" t="s">
        <v>35</v>
      </c>
    </row>
    <row r="10" spans="1:15" x14ac:dyDescent="0.3">
      <c r="A10" t="s">
        <v>36</v>
      </c>
    </row>
    <row r="11" spans="1:15" x14ac:dyDescent="0.3">
      <c r="A11" t="s">
        <v>37</v>
      </c>
    </row>
    <row r="12" spans="1:15" x14ac:dyDescent="0.3">
      <c r="A12" t="s">
        <v>38</v>
      </c>
    </row>
    <row r="13" spans="1:15" x14ac:dyDescent="0.3">
      <c r="A13" t="s">
        <v>39</v>
      </c>
    </row>
    <row r="14" spans="1:15" x14ac:dyDescent="0.3">
      <c r="A14" t="s">
        <v>40</v>
      </c>
    </row>
    <row r="15" spans="1:15" x14ac:dyDescent="0.3">
      <c r="A15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FBBC-CD79-4060-99D5-068B82A3EE43}">
  <dimension ref="A1:I20"/>
  <sheetViews>
    <sheetView topLeftCell="A16" zoomScale="58" workbookViewId="0">
      <selection activeCell="D29" sqref="D29"/>
    </sheetView>
  </sheetViews>
  <sheetFormatPr baseColWidth="10" defaultRowHeight="14.4" x14ac:dyDescent="0.3"/>
  <cols>
    <col min="1" max="1" width="16.21875" bestFit="1" customWidth="1"/>
    <col min="2" max="2" width="17.5546875" bestFit="1" customWidth="1"/>
    <col min="4" max="4" width="16.21875" bestFit="1" customWidth="1"/>
    <col min="5" max="5" width="17.33203125" bestFit="1" customWidth="1"/>
    <col min="6" max="6" width="16" bestFit="1" customWidth="1"/>
  </cols>
  <sheetData>
    <row r="1" spans="1:9" x14ac:dyDescent="0.3">
      <c r="A1" s="25" t="s">
        <v>19</v>
      </c>
      <c r="B1" s="25" t="s">
        <v>20</v>
      </c>
      <c r="C1" s="26" t="s">
        <v>0</v>
      </c>
      <c r="D1" s="31" t="s">
        <v>24</v>
      </c>
      <c r="E1" s="31" t="s">
        <v>25</v>
      </c>
      <c r="F1" s="32" t="s">
        <v>26</v>
      </c>
      <c r="G1" s="27"/>
      <c r="H1" s="27"/>
      <c r="I1" s="27"/>
    </row>
    <row r="2" spans="1:9" x14ac:dyDescent="0.3">
      <c r="A2" s="26" t="s">
        <v>5</v>
      </c>
      <c r="B2" s="26" t="s">
        <v>2</v>
      </c>
      <c r="C2" s="26">
        <f>'Approche déterministe'!C4</f>
        <v>10</v>
      </c>
      <c r="D2" s="26">
        <f>ROUND(C2*0.7,0)</f>
        <v>7</v>
      </c>
      <c r="E2" s="26">
        <f>C2</f>
        <v>10</v>
      </c>
      <c r="F2" s="26">
        <f>ROUND(C2*1.3,0)</f>
        <v>13</v>
      </c>
    </row>
    <row r="3" spans="1:9" x14ac:dyDescent="0.3">
      <c r="A3" s="26" t="s">
        <v>5</v>
      </c>
      <c r="B3" s="26" t="s">
        <v>3</v>
      </c>
      <c r="C3" s="26">
        <f>'Approche déterministe'!D4</f>
        <v>5</v>
      </c>
      <c r="D3" s="26">
        <f>ROUND(C3*0.7,0)</f>
        <v>4</v>
      </c>
      <c r="E3" s="26">
        <f t="shared" ref="E3:E13" si="0">C3</f>
        <v>5</v>
      </c>
      <c r="F3" s="26">
        <f t="shared" ref="F3:F13" si="1">ROUND(C3*1.3,0)</f>
        <v>7</v>
      </c>
    </row>
    <row r="4" spans="1:9" x14ac:dyDescent="0.3">
      <c r="A4" s="26" t="s">
        <v>5</v>
      </c>
      <c r="B4" s="26" t="s">
        <v>4</v>
      </c>
      <c r="C4" s="26">
        <f>'Approche déterministe'!E4</f>
        <v>3</v>
      </c>
      <c r="D4" s="26">
        <f>ROUND(C4*0.7,0)</f>
        <v>2</v>
      </c>
      <c r="E4" s="26">
        <f t="shared" si="0"/>
        <v>3</v>
      </c>
      <c r="F4" s="26">
        <f t="shared" si="1"/>
        <v>4</v>
      </c>
    </row>
    <row r="5" spans="1:9" x14ac:dyDescent="0.3">
      <c r="A5" s="26" t="s">
        <v>6</v>
      </c>
      <c r="B5" s="26" t="s">
        <v>2</v>
      </c>
      <c r="C5" s="26">
        <f>'Approche déterministe'!C5</f>
        <v>8</v>
      </c>
      <c r="D5" s="26">
        <f t="shared" ref="D5:D13" si="2">ROUND(C5*0.7,0)</f>
        <v>6</v>
      </c>
      <c r="E5" s="26">
        <f t="shared" si="0"/>
        <v>8</v>
      </c>
      <c r="F5" s="26">
        <f t="shared" si="1"/>
        <v>10</v>
      </c>
    </row>
    <row r="6" spans="1:9" x14ac:dyDescent="0.3">
      <c r="A6" s="26" t="s">
        <v>6</v>
      </c>
      <c r="B6" s="26" t="s">
        <v>3</v>
      </c>
      <c r="C6" s="26">
        <f>'Approche déterministe'!D5</f>
        <v>6</v>
      </c>
      <c r="D6" s="26">
        <f t="shared" si="2"/>
        <v>4</v>
      </c>
      <c r="E6" s="26">
        <f t="shared" si="0"/>
        <v>6</v>
      </c>
      <c r="F6" s="26">
        <f t="shared" si="1"/>
        <v>8</v>
      </c>
    </row>
    <row r="7" spans="1:9" x14ac:dyDescent="0.3">
      <c r="A7" s="26" t="s">
        <v>6</v>
      </c>
      <c r="B7" s="26" t="s">
        <v>4</v>
      </c>
      <c r="C7" s="26">
        <f>'Approche déterministe'!E5</f>
        <v>4</v>
      </c>
      <c r="D7" s="26">
        <f t="shared" si="2"/>
        <v>3</v>
      </c>
      <c r="E7" s="26">
        <f t="shared" si="0"/>
        <v>4</v>
      </c>
      <c r="F7" s="26">
        <f t="shared" si="1"/>
        <v>5</v>
      </c>
    </row>
    <row r="8" spans="1:9" x14ac:dyDescent="0.3">
      <c r="A8" s="26" t="s">
        <v>7</v>
      </c>
      <c r="B8" s="26" t="s">
        <v>2</v>
      </c>
      <c r="C8" s="26">
        <f>'Approche déterministe'!C6</f>
        <v>6</v>
      </c>
      <c r="D8" s="26">
        <f t="shared" si="2"/>
        <v>4</v>
      </c>
      <c r="E8" s="26">
        <f t="shared" si="0"/>
        <v>6</v>
      </c>
      <c r="F8" s="26">
        <f t="shared" si="1"/>
        <v>8</v>
      </c>
    </row>
    <row r="9" spans="1:9" x14ac:dyDescent="0.3">
      <c r="A9" s="26" t="s">
        <v>7</v>
      </c>
      <c r="B9" s="26" t="s">
        <v>3</v>
      </c>
      <c r="C9" s="26">
        <f>'Approche déterministe'!D6</f>
        <v>4</v>
      </c>
      <c r="D9" s="26">
        <f t="shared" si="2"/>
        <v>3</v>
      </c>
      <c r="E9" s="26">
        <f t="shared" si="0"/>
        <v>4</v>
      </c>
      <c r="F9" s="26">
        <f t="shared" si="1"/>
        <v>5</v>
      </c>
    </row>
    <row r="10" spans="1:9" x14ac:dyDescent="0.3">
      <c r="A10" s="26" t="s">
        <v>7</v>
      </c>
      <c r="B10" s="26" t="s">
        <v>4</v>
      </c>
      <c r="C10" s="26">
        <f>'Approche déterministe'!E6</f>
        <v>5</v>
      </c>
      <c r="D10" s="26">
        <f t="shared" si="2"/>
        <v>4</v>
      </c>
      <c r="E10" s="26">
        <f t="shared" si="0"/>
        <v>5</v>
      </c>
      <c r="F10" s="26">
        <f t="shared" si="1"/>
        <v>7</v>
      </c>
    </row>
    <row r="11" spans="1:9" x14ac:dyDescent="0.3">
      <c r="A11" s="26" t="s">
        <v>8</v>
      </c>
      <c r="B11" s="26" t="s">
        <v>2</v>
      </c>
      <c r="C11" s="26">
        <f>'Approche déterministe'!C7</f>
        <v>9</v>
      </c>
      <c r="D11" s="26">
        <f t="shared" si="2"/>
        <v>6</v>
      </c>
      <c r="E11" s="26">
        <f t="shared" si="0"/>
        <v>9</v>
      </c>
      <c r="F11" s="26">
        <f t="shared" si="1"/>
        <v>12</v>
      </c>
    </row>
    <row r="12" spans="1:9" x14ac:dyDescent="0.3">
      <c r="A12" s="26" t="s">
        <v>8</v>
      </c>
      <c r="B12" s="26" t="s">
        <v>3</v>
      </c>
      <c r="C12" s="26">
        <f>'Approche déterministe'!D7</f>
        <v>5</v>
      </c>
      <c r="D12" s="26">
        <f t="shared" si="2"/>
        <v>4</v>
      </c>
      <c r="E12" s="26">
        <f t="shared" si="0"/>
        <v>5</v>
      </c>
      <c r="F12" s="26">
        <f t="shared" si="1"/>
        <v>7</v>
      </c>
    </row>
    <row r="13" spans="1:9" x14ac:dyDescent="0.3">
      <c r="A13" s="26" t="s">
        <v>8</v>
      </c>
      <c r="B13" s="26" t="s">
        <v>4</v>
      </c>
      <c r="C13" s="26">
        <f>'Approche déterministe'!E7</f>
        <v>2</v>
      </c>
      <c r="D13" s="26">
        <f t="shared" si="2"/>
        <v>1</v>
      </c>
      <c r="E13" s="26">
        <f t="shared" si="0"/>
        <v>2</v>
      </c>
      <c r="F13" s="26">
        <f t="shared" si="1"/>
        <v>3</v>
      </c>
    </row>
    <row r="16" spans="1:9" ht="15" thickBot="1" x14ac:dyDescent="0.35"/>
    <row r="17" spans="4:5" ht="15" thickBot="1" x14ac:dyDescent="0.35">
      <c r="D17" s="30" t="s">
        <v>27</v>
      </c>
      <c r="E17" s="29" t="s">
        <v>31</v>
      </c>
    </row>
    <row r="18" spans="4:5" x14ac:dyDescent="0.3">
      <c r="D18" s="28" t="s">
        <v>28</v>
      </c>
      <c r="E18" s="28">
        <v>0.25</v>
      </c>
    </row>
    <row r="19" spans="4:5" x14ac:dyDescent="0.3">
      <c r="D19" s="26" t="s">
        <v>29</v>
      </c>
      <c r="E19" s="26">
        <v>0.5</v>
      </c>
    </row>
    <row r="20" spans="4:5" x14ac:dyDescent="0.3">
      <c r="D20" s="26" t="s">
        <v>30</v>
      </c>
      <c r="E20" s="26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A049104A612744BD1BD51322DDA00D" ma:contentTypeVersion="3" ma:contentTypeDescription="Crée un document." ma:contentTypeScope="" ma:versionID="4edfbcde0d7735c9757274b6cde66ba3">
  <xsd:schema xmlns:xsd="http://www.w3.org/2001/XMLSchema" xmlns:xs="http://www.w3.org/2001/XMLSchema" xmlns:p="http://schemas.microsoft.com/office/2006/metadata/properties" xmlns:ns2="f4900802-4956-4843-8cbf-7f37431657c7" targetNamespace="http://schemas.microsoft.com/office/2006/metadata/properties" ma:root="true" ma:fieldsID="c5fdc8ffbc604ecca05edfe330a2a2f8" ns2:_="">
    <xsd:import namespace="f4900802-4956-4843-8cbf-7f3743165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00802-4956-4843-8cbf-7f37431657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E1FD38-078D-4B89-8FA9-50A9148E2781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f4900802-4956-4843-8cbf-7f37431657c7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1EAFDFB-EB5C-4754-816F-0F42621CC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900802-4956-4843-8cbf-7f3743165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DDC23A-F33A-49C8-BA39-976AEA609D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Approche déterministe</vt:lpstr>
      <vt:lpstr>demande</vt:lpstr>
      <vt:lpstr>cout_rupture</vt:lpstr>
      <vt:lpstr>stock</vt:lpstr>
      <vt:lpstr>capacite</vt:lpstr>
      <vt:lpstr>cout_transport</vt:lpstr>
      <vt:lpstr>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2026-03-21T19:21:59Z</dcterms:created>
  <dcterms:modified xsi:type="dcterms:W3CDTF">2026-04-15T17:38:32Z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0x010100A2A049104A612744BD1BD51322DDA00D</vt:lpwstr>
  </property>
</Properties>
</file>